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Plan Travel VN\Đà Lạt\"/>
    </mc:Choice>
  </mc:AlternateContent>
  <xr:revisionPtr revIDLastSave="0" documentId="13_ncr:1_{827BD1DA-AEA9-4E3A-AC81-670D0F4B40C3}" xr6:coauthVersionLast="47" xr6:coauthVersionMax="47" xr10:uidLastSave="{00000000-0000-0000-0000-000000000000}"/>
  <bookViews>
    <workbookView xWindow="0" yWindow="2520" windowWidth="24840" windowHeight="12645" activeTab="1" xr2:uid="{00000000-000D-0000-FFFF-FFFF00000000}"/>
  </bookViews>
  <sheets>
    <sheet name="Checklist Chuẩn Bị" sheetId="10" r:id="rId1"/>
    <sheet name="Kế hoạch, lịch trình di chuyển" sheetId="5" r:id="rId2"/>
    <sheet name="Danh Sách Địa Điểm" sheetId="12" r:id="rId3"/>
  </sheets>
  <definedNames>
    <definedName name="Z_118CFE70_B8A2_4E0C_8D70_52A78932A243_.wvu.FilterData" localSheetId="0" hidden="1">'Checklist Chuẩn Bị'!$A$7:$D$21</definedName>
    <definedName name="Z_118CFE70_B8A2_4E0C_8D70_52A78932A243_.wvu.FilterData" localSheetId="2" hidden="1">'Danh Sách Địa Điểm'!$A$7:$D$25</definedName>
    <definedName name="Z_118CFE70_B8A2_4E0C_8D70_52A78932A243_.wvu.FilterData" localSheetId="1" hidden="1">'Kế hoạch, lịch trình di chuyển'!$A$7:$E$31</definedName>
    <definedName name="Z_16CF1581_DC94_4560_8CDB_C698EDB0E504_.wvu.FilterData" localSheetId="0" hidden="1">'Checklist Chuẩn Bị'!$A$7:$D$21</definedName>
    <definedName name="Z_16CF1581_DC94_4560_8CDB_C698EDB0E504_.wvu.FilterData" localSheetId="2" hidden="1">'Danh Sách Địa Điểm'!$A$7:$D$25</definedName>
    <definedName name="Z_16CF1581_DC94_4560_8CDB_C698EDB0E504_.wvu.FilterData" localSheetId="1" hidden="1">'Kế hoạch, lịch trình di chuyển'!$A$7:$E$31</definedName>
    <definedName name="Z_649CC00D_55D4_435A_88C3_3C4D47033B28_.wvu.FilterData" localSheetId="0" hidden="1">'Checklist Chuẩn Bị'!$A$7:$D$21</definedName>
    <definedName name="Z_649CC00D_55D4_435A_88C3_3C4D47033B28_.wvu.FilterData" localSheetId="2" hidden="1">'Danh Sách Địa Điểm'!$A$7:$D$25</definedName>
    <definedName name="Z_649CC00D_55D4_435A_88C3_3C4D47033B28_.wvu.FilterData" localSheetId="1" hidden="1">'Kế hoạch, lịch trình di chuyển'!$A$7:$E$31</definedName>
    <definedName name="Z_DF92C0CB_DF14_4DAC_8C82_C7AB13D33764_.wvu.FilterData" localSheetId="0" hidden="1">'Checklist Chuẩn Bị'!$A$7:$D$21</definedName>
    <definedName name="Z_DF92C0CB_DF14_4DAC_8C82_C7AB13D33764_.wvu.FilterData" localSheetId="2" hidden="1">'Danh Sách Địa Điểm'!$A$7:$D$25</definedName>
    <definedName name="Z_DF92C0CB_DF14_4DAC_8C82_C7AB13D33764_.wvu.FilterData" localSheetId="1" hidden="1">'Kế hoạch, lịch trình di chuyển'!$A$7:$E$31</definedName>
    <definedName name="Z_E6FFB55A_1F7A_4D65_AC9E_072A025B4EB4_.wvu.FilterData" localSheetId="0" hidden="1">'Checklist Chuẩn Bị'!$A$8:$D$21</definedName>
    <definedName name="Z_E6FFB55A_1F7A_4D65_AC9E_072A025B4EB4_.wvu.FilterData" localSheetId="2" hidden="1">'Danh Sách Địa Điểm'!$A$8:$D$25</definedName>
    <definedName name="Z_E6FFB55A_1F7A_4D65_AC9E_072A025B4EB4_.wvu.FilterData" localSheetId="1" hidden="1">'Kế hoạch, lịch trình di chuyển'!$A$8:$E$31</definedName>
  </definedNames>
  <calcPr calcId="191028"/>
  <customWorkbookViews>
    <customWorkbookView name="For iOS" guid="{649CC00D-55D4-435A-88C3-3C4D47033B28}" maximized="1" windowWidth="0" windowHeight="0" activeSheetId="0"/>
    <customWorkbookView name="BE" guid="{E6FFB55A-1F7A-4D65-AC9E-072A025B4EB4}" maximized="1" windowWidth="0" windowHeight="0" activeSheetId="0"/>
    <customWorkbookView name="For FE" guid="{118CFE70-B8A2-4E0C-8D70-52A78932A243}" maximized="1" windowWidth="0" windowHeight="0" activeSheetId="0"/>
    <customWorkbookView name="For Android" guid="{16CF1581-DC94-4560-8CDB-C698EDB0E504}" maximized="1" windowWidth="0" windowHeight="0" activeSheetId="0"/>
    <customWorkbookView name="For Server" guid="{DF92C0CB-DF14-4DAC-8C82-C7AB13D33764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5" l="1"/>
  <c r="A25" i="5"/>
  <c r="A38" i="5"/>
  <c r="A53" i="12"/>
  <c r="A52" i="12"/>
  <c r="A51" i="12"/>
  <c r="A49" i="12"/>
  <c r="A41" i="12"/>
  <c r="A40" i="12"/>
  <c r="A46" i="12"/>
  <c r="A47" i="12"/>
  <c r="A48" i="12"/>
  <c r="A45" i="12"/>
  <c r="A39" i="12"/>
  <c r="A42" i="12"/>
  <c r="A43" i="12"/>
  <c r="A38" i="12"/>
  <c r="A34" i="12"/>
  <c r="A35" i="12"/>
  <c r="A36" i="12"/>
  <c r="A33" i="12"/>
  <c r="A29" i="12"/>
  <c r="A30" i="12"/>
  <c r="A31" i="12"/>
  <c r="A28" i="12"/>
  <c r="A22" i="12"/>
  <c r="A21" i="12"/>
  <c r="A20" i="12"/>
  <c r="A19" i="12"/>
  <c r="A18" i="12"/>
  <c r="A17" i="12"/>
  <c r="A16" i="12"/>
  <c r="A14" i="12"/>
  <c r="A13" i="12"/>
  <c r="A12" i="12"/>
  <c r="A11" i="12"/>
  <c r="A10" i="12"/>
  <c r="A9" i="12"/>
  <c r="A26" i="12"/>
  <c r="A25" i="12"/>
  <c r="A24" i="12"/>
  <c r="A39" i="5"/>
  <c r="A37" i="5"/>
  <c r="A36" i="5"/>
  <c r="A35" i="5"/>
  <c r="A34" i="5"/>
  <c r="A33" i="5"/>
  <c r="A27" i="5"/>
  <c r="A26" i="5"/>
  <c r="A24" i="5"/>
  <c r="A16" i="5"/>
  <c r="A15" i="5"/>
  <c r="A14" i="5"/>
  <c r="A21" i="10"/>
  <c r="A20" i="10"/>
  <c r="A19" i="10"/>
  <c r="A18" i="10"/>
  <c r="A17" i="10"/>
  <c r="A16" i="10"/>
  <c r="A14" i="10"/>
  <c r="A13" i="10"/>
  <c r="A12" i="10"/>
  <c r="A11" i="10"/>
  <c r="A10" i="10"/>
  <c r="A9" i="10"/>
  <c r="C5" i="10"/>
  <c r="A13" i="5"/>
  <c r="A12" i="5"/>
  <c r="A23" i="5"/>
  <c r="A22" i="5"/>
  <c r="A21" i="5"/>
  <c r="A20" i="5"/>
  <c r="A19" i="5"/>
  <c r="C5" i="5"/>
  <c r="A44" i="5"/>
  <c r="A40" i="5"/>
  <c r="A11" i="5"/>
  <c r="A46" i="5"/>
  <c r="A47" i="5"/>
  <c r="A48" i="5"/>
  <c r="A45" i="5"/>
  <c r="A31" i="5"/>
  <c r="A32" i="5"/>
  <c r="A42" i="5"/>
  <c r="A30" i="5"/>
  <c r="A28" i="5"/>
  <c r="A10" i="5"/>
  <c r="A9" i="5"/>
  <c r="A17" i="5"/>
</calcChain>
</file>

<file path=xl/sharedStrings.xml><?xml version="1.0" encoding="utf-8"?>
<sst xmlns="http://schemas.openxmlformats.org/spreadsheetml/2006/main" count="186" uniqueCount="135">
  <si>
    <t>STT</t>
  </si>
  <si>
    <t>Người thực hiện</t>
  </si>
  <si>
    <t>Thời gian</t>
  </si>
  <si>
    <t>Kết quả</t>
  </si>
  <si>
    <t xml:space="preserve">         </t>
  </si>
  <si>
    <t>Nội dung</t>
  </si>
  <si>
    <t>Check Items</t>
  </si>
  <si>
    <t>Ghi chú</t>
  </si>
  <si>
    <t>Đặt trước (ưu tiên số 1 — làm càng sớm càng tốt)</t>
  </si>
  <si>
    <t xml:space="preserve">Vé máy bay khứ hồi (đi + về) đến/từ Liên Khương </t>
  </si>
  <si>
    <t>Có thể Cát Bi hoặc Nội Bài</t>
  </si>
  <si>
    <t>Xe đưa đón sân bay Liên Khương → trung tâm Đà Lạt (khứ hồi, ~30–45 phút)</t>
  </si>
  <si>
    <t>Không quá quan trong có thể đi taxi</t>
  </si>
  <si>
    <t>Đặt phòng khách sạn/homestay 3 đêm (chốt trước vì lễ Noel hết phòng nhanh)</t>
  </si>
  <si>
    <t>Ưu tiên homestay hoặc resort thay vì khách sạn</t>
  </si>
  <si>
    <t>Đặt bàn nhà hàng tối 24/12 (Giáng Sinh Eve — nơi đông dễ full chỗ)</t>
  </si>
  <si>
    <t>Đặt bàn cho ít nhất 1 buổi fine dining</t>
  </si>
  <si>
    <t>Thuê xe máy hoặc đặt xe di chuyển trong ngày (nếu cần)</t>
  </si>
  <si>
    <t>Chọn phương án thuê xe</t>
  </si>
  <si>
    <t>Mua vé trước các điểm tham quan có giới hạn vé (cáp treo Trúc Lâm...)</t>
  </si>
  <si>
    <t>Lựu chọn không ưu tiên thực hiện</t>
  </si>
  <si>
    <t>Kế hoạch chụp bộ ảnh</t>
  </si>
  <si>
    <t>Chốt concept/phong cách ảnh (Giáng Sinh, vintage, đồi thông, hoa...)</t>
  </si>
  <si>
    <t>Đặt lịch studio/photographer thuê ngoài trước (mùa lễ dễ full lịch)</t>
  </si>
  <si>
    <t>Chọn &amp; đặt trước địa điểm chụp (đồi chè, vườn hoa, phố cổ, quảng trường Giáng Sinh...)</t>
  </si>
  <si>
    <t>Chuẩn bị trang phục chụp ảnh (2–3 bộ đổi, phối màu hợp nhau)</t>
  </si>
  <si>
    <t>Phụ kiện chụp ảnh (mũ, khăn, hoa cầm tay, kính...)</t>
  </si>
  <si>
    <t>Kiểm tra thời tiết ngày chụp để chọn khung giờ ánh sáng đẹp (sáng sớm/hoàng hôn)</t>
  </si>
  <si>
    <t>TÌm hiểu, trao đổi kỹ với studio về quyền lợi và gợi ý từ studio</t>
  </si>
  <si>
    <t xml:space="preserve">2 đứa chốt concept sớm </t>
  </si>
  <si>
    <t>Checklist Chuẩn Bị Chuyến Đi Đà Lạt</t>
  </si>
  <si>
    <t>Kế hoạch, lịch trình di chuyển</t>
  </si>
  <si>
    <t>Ngày 1 — Thứ Năm 24/12/2026: Đến Đà Lạt &amp; Đêm Giáng Sinh</t>
  </si>
  <si>
    <t>Sáng: Bay đến sân bay Liên Khương</t>
  </si>
  <si>
    <t>Di chuyển từ nhà ra Nội Bài hoặc Cát Bi</t>
  </si>
  <si>
    <t>Lưu ý đến trước 40  + 40p để ký gửi hành lý</t>
  </si>
  <si>
    <t>Có thể ăn sáng tại sân bay</t>
  </si>
  <si>
    <t>Di chuyển từ Liên Khương về trung tâm thành phố (Khoảng 40p)</t>
  </si>
  <si>
    <t>**Ăn trưa**: Bún bò Đà Lạt hoặc Bánh ướt lòng gà (đặc sản)</t>
  </si>
  <si>
    <t>Chiều: Dạo Hồ Xuân Hương, cafe view hồ nghỉ ngơi sau chuyến bay</t>
  </si>
  <si>
    <t>**Xế**: Cà phê + bánh tráng nướng, sữa đậu nành nóng ven hồ</t>
  </si>
  <si>
    <t>Tối: Dạo chợ đêm Đà Lạt, phố đi bộ khu Hòa Bình, chụp ảnh Nhà thờ Con Gà trang trí Noel</t>
  </si>
  <si>
    <t>**Ăn tối đặc biệt đêm Giáng Sinh** (đã đặt bàn trước) — set menu/lẩu nhà hàng trung tâm</t>
  </si>
  <si>
    <t>**Ăn khuya (tuỳ chọn)**: Kem bơ, chè nóng, hoặc bánh tráng nướng chợ đêm</t>
  </si>
  <si>
    <t>Đêm: Về nghỉ sớm hoặc dạo thêm quanh khách sạn</t>
  </si>
  <si>
    <t>Ngày 2 — Thứ Sáu 25/12/2026: Giáng Sinh — Khám phá điểm nổi bật</t>
  </si>
  <si>
    <t>Ngày 3 — Thứ Bảy 26/12/2026: Buổi chụp ảnh &amp; Thiên nhiên</t>
  </si>
  <si>
    <t>Ngày 4 — Chủ Nhật 27/12/2026: Chill sáng &amp; bay về</t>
  </si>
  <si>
    <t>Sáng: Thức dậy sớm</t>
  </si>
  <si>
    <t>Đón bình minh</t>
  </si>
  <si>
    <t>**Ăn sáng**: Bánh mì xíu mại hoặc Bánh căn nóng + cà phê sữa đá</t>
  </si>
  <si>
    <t>Sáng: Thung lũng Tình Yêu (checkin, đạp xe quanh hồ) — nên đi sớm 8h để tránh đông</t>
  </si>
  <si>
    <t>Trưa: Về khu trung tâm</t>
  </si>
  <si>
    <t>**Ăn trưa**: Nem nướng Đà Lạt (cuốn bánh tráng)</t>
  </si>
  <si>
    <t>Chiều: Quảng trường Lâm Viên → Ga Đà Lạt (kiến trúc cổ) → Crazy House (checkin)</t>
  </si>
  <si>
    <t>**Xế**: Kem bơ hoặc sữa chua phô mai gần khu Hòa Bình</t>
  </si>
  <si>
    <t>Tối: Dạo phố nhẹ nhàng (đỡ đông hơn đêm 24)</t>
  </si>
  <si>
    <t>**Ăn tối**: Lẩu bò/lẩu nướng Đà Lạt (nướng đá, nướng BBQ)/ Lẩu gà lá é</t>
  </si>
  <si>
    <t>Sáng sớm (~5h): Cà phê mang đi + bánh ngọt lót dạ trước khi ra ngoài</t>
  </si>
  <si>
    <t>Ngày dự kiến mệt nhất</t>
  </si>
  <si>
    <t>Sáng sớm (~5h30–7h30): **Buổi chụp bộ ảnh cặp đôi** tại Đồi chè Cầu Đất — canh bình minh, ánh sáng đẹp, vắng khách (mang theo trang phục &amp; phụ kiện đã chuẩn bị)</t>
  </si>
  <si>
    <t>Sáng muộn: Về nghỉ ngơi đổi đồ</t>
  </si>
  <si>
    <t>**Ăn sáng muộn**: Xíu mại nóng hoặc bánh ướt lòng gà</t>
  </si>
  <si>
    <t>Sáng muộn: Thiền viện Trúc Lâm + cáp treo, dạo Hồ Tuyền Lâm</t>
  </si>
  <si>
    <t>Trưa: Ăn trưa đặc sản</t>
  </si>
  <si>
    <t>**Ăn trưa**: Gà nướng cơm lam hoặc lẩu bò vùng ven hồ</t>
  </si>
  <si>
    <t>Chiều: Vườn hoa thành phố / Vườn dâu tây checkin, cafe view đồi thông</t>
  </si>
  <si>
    <t>**Xế**: Cà phê đồi thông + bánh tráng nướng</t>
  </si>
  <si>
    <t>Tối: Mua sắm đặc sản (mứt, trà, cà phê), thư giãn cuối chuyến</t>
  </si>
  <si>
    <t>**Ăn tối**: Ăn vặt chợ đêm — bánh tráng nướng, bánh căn, sữa đậu nành, hột vịt lộn xào me</t>
  </si>
  <si>
    <t>Sáng: Cafe sáng chill, mua nốt quà lưu niệm/đặc sản</t>
  </si>
  <si>
    <t>**Ăn sáng**: Phở hoặc bánh mì Đà Lạt + cà phê</t>
  </si>
  <si>
    <t>Trưa: Trả phòng</t>
  </si>
  <si>
    <t>**Ăn trưa nhẹ**: Bún riêu/bánh canh gần khách sạn (ăn nhẹ trước khi ra sân bay)</t>
  </si>
  <si>
    <t>Chiều: Xe ra sân bay Liên Khương (canh giờ trước bay ~2 tiếng), bay về</t>
  </si>
  <si>
    <t>Danh Sách Địa Điểm</t>
  </si>
  <si>
    <t>**Trung tâm thành phố**</t>
  </si>
  <si>
    <t>Hồ Xuân Hương</t>
  </si>
  <si>
    <t>Quảng trường Lâm Viên</t>
  </si>
  <si>
    <t>Nhà thờ Con Gà (Nhà thờ Chính tòa Đà Lạt)</t>
  </si>
  <si>
    <t>Ga Đà Lạt (kiến trúc cổ, có thể đi tàu ngắn ra Trại Mát)</t>
  </si>
  <si>
    <t>Chợ Đà Lạt &amp; chợ đêm Âm Phủ</t>
  </si>
  <si>
    <t>Crazy House (Hằng Nga)</t>
  </si>
  <si>
    <t>⭐⭐⭐⭐⭐</t>
  </si>
  <si>
    <t>⭐⭐⭐⭐</t>
  </si>
  <si>
    <t>⭐⭐⭐</t>
  </si>
  <si>
    <t>**Thiên nhiên &amp; sinh thái**</t>
  </si>
  <si>
    <t>Thung lũng Tình Yêu</t>
  </si>
  <si>
    <t>Thiền viện Trúc Lâm + cáp treo</t>
  </si>
  <si>
    <t>Hồ Tuyền Lâm</t>
  </si>
  <si>
    <t>Đồi chè Cầu Đất / Cầu Đất Farm</t>
  </si>
  <si>
    <t>Đẹp nhất cho buổi chụp ảnh</t>
  </si>
  <si>
    <t>Vườn hoa thành phố Đà Lạt</t>
  </si>
  <si>
    <t>Vườn dâu tây (Biofresh hoặc các vườn quanh Đa Thiện)</t>
  </si>
  <si>
    <t>Thác Datanla hoặc Thác Prenn (dự phòng nếu còn thời gian)</t>
  </si>
  <si>
    <t>**Tâm linh &amp; văn hoá (dự phòng thêm)**</t>
  </si>
  <si>
    <t>Chùa Linh Phước (chùa Ve Chai) — kết hợp đi tàu từ Ga Đà Lạt ra Trại Mát</t>
  </si>
  <si>
    <t>Dinh Bảo Đại (Dinh I/II/III)</t>
  </si>
  <si>
    <t>Làng Cù Lần</t>
  </si>
  <si>
    <t>Khá xa trung tâm</t>
  </si>
  <si>
    <t>**Quán cafe view đẹp (chọn 1–2 để chill)**</t>
  </si>
  <si>
    <t>Là Việt Coffee</t>
  </si>
  <si>
    <t>Túi Mơ To</t>
  </si>
  <si>
    <t>Horizon Coffee</t>
  </si>
  <si>
    <t>ê Linh Coffee Garden (kết hợp vườn hoa + cafe)</t>
  </si>
  <si>
    <t>**Ăn Sáng**</t>
  </si>
  <si>
    <t>Bánh ướt lòng gà</t>
  </si>
  <si>
    <t>Đặc sản phải thử</t>
  </si>
  <si>
    <t>Đặc sản biểu tượng</t>
  </si>
  <si>
    <t>Bánh căn</t>
  </si>
  <si>
    <t>Bánh mì xíu mại</t>
  </si>
  <si>
    <t>Xíu mại nóng</t>
  </si>
  <si>
    <t>Bún bò Đà Lạt</t>
  </si>
  <si>
    <t>Nem nướng (cuốn bánh tráng)</t>
  </si>
  <si>
    <t>Lẩu gà lá é</t>
  </si>
  <si>
    <t>Lẩu bò / nướng đá Đà Lạt</t>
  </si>
  <si>
    <t>Gà nướng cơm lam</t>
  </si>
  <si>
    <t>Bánh canh / bún riêu (bữa nhẹ)</t>
  </si>
  <si>
    <t>**Ăn Trưa / Tối**</t>
  </si>
  <si>
    <t>**Ăn vặt &amp; tráng miệng**</t>
  </si>
  <si>
    <t>**Cà phê / đồ uống**</t>
  </si>
  <si>
    <t>Cà phê sữa đá / cà phê trứng</t>
  </si>
  <si>
    <t>Trà atiso nóng</t>
  </si>
  <si>
    <t>Sữa chua phô mai</t>
  </si>
  <si>
    <t>Bánh tráng nướng (chợ đêm)</t>
  </si>
  <si>
    <t>Biểu tượng ăn vặt Đà Lạt</t>
  </si>
  <si>
    <t xml:space="preserve">Kem bơ </t>
  </si>
  <si>
    <t>Sữa đậu nành nóng</t>
  </si>
  <si>
    <t>Chè nóng</t>
  </si>
  <si>
    <t>Hột vịt lộn xào me</t>
  </si>
  <si>
    <t>Săn hoàng hôn ở Đóc Nhà Bò</t>
  </si>
  <si>
    <t>Đi tàu cổ Ga Đà Lạt – Trại Mát</t>
  </si>
  <si>
    <t>Tham quan ga, ngắm cung đường và ghé Chùa Linh Phước nếu còn đủ thời gian; kiểm tra giờ tàu và đặt vé trước vì đang là mùa cao điểm</t>
  </si>
  <si>
    <t>**Live Show**: Đặt 1 show ca nhạc</t>
  </si>
  <si>
    <t>Đặt sớm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</si>
</sst>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</font>
    <font>
      <b/>
      <sz val="14"/>
      <color theme="1"/>
      <name val="&quot;Times New Roman&quot;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8"/>
      <color rgb="FF000000"/>
      <name val="Arial"/>
      <family val="2"/>
    </font>
    <font>
      <sz val="10"/>
      <color theme="1"/>
      <name val="arial, sans, sans-serif"/>
    </font>
    <font>
      <sz val="11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</borders>
  <cellStyleXfs count="3">
    <xf numFmtId="0" fontId="0" fillId="0" borderId="0"/>
    <xf numFmtId="0" fontId="3" fillId="0" borderId="0"/>
    <xf numFmtId="0" fontId="8" fillId="0" borderId="10" applyFill="0">
      <alignment horizontal="left" vertical="center" indent="2"/>
    </xf>
  </cellStyleXfs>
  <cellXfs count="3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5" fillId="3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6" fillId="2" borderId="0" xfId="0" applyFont="1" applyFill="1"/>
    <xf numFmtId="0" fontId="3" fillId="2" borderId="6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 wrapText="1"/>
    </xf>
    <xf numFmtId="0" fontId="4" fillId="3" borderId="5" xfId="0" applyFont="1" applyFill="1" applyBorder="1" applyAlignment="1">
      <alignment vertical="top" wrapText="1"/>
    </xf>
    <xf numFmtId="0" fontId="2" fillId="0" borderId="6" xfId="0" applyFont="1" applyBorder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2" borderId="0" xfId="0" applyFont="1" applyFill="1" applyAlignment="1">
      <alignment horizontal="right"/>
    </xf>
    <xf numFmtId="0" fontId="7" fillId="0" borderId="6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left"/>
    </xf>
    <xf numFmtId="0" fontId="5" fillId="3" borderId="4" xfId="0" applyFont="1" applyFill="1" applyBorder="1"/>
    <xf numFmtId="0" fontId="0" fillId="0" borderId="0" xfId="0" applyAlignment="1">
      <alignment wrapText="1"/>
    </xf>
    <xf numFmtId="0" fontId="5" fillId="3" borderId="4" xfId="0" applyFont="1" applyFill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0" fontId="3" fillId="2" borderId="0" xfId="0" applyFont="1" applyFill="1" applyAlignment="1">
      <alignment horizontal="center" vertical="top" wrapText="1"/>
    </xf>
    <xf numFmtId="0" fontId="5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4" fillId="3" borderId="9" xfId="0" applyFont="1" applyFill="1" applyBorder="1" applyAlignment="1">
      <alignment horizontal="left" vertical="top"/>
    </xf>
    <xf numFmtId="0" fontId="4" fillId="3" borderId="5" xfId="0" applyFont="1" applyFill="1" applyBorder="1" applyAlignment="1">
      <alignment horizontal="left" vertical="top"/>
    </xf>
  </cellXfs>
  <cellStyles count="3">
    <cellStyle name="Normal" xfId="0" builtinId="0"/>
    <cellStyle name="Normal 2" xfId="1" xr:uid="{00000000-0005-0000-0000-000001000000}"/>
    <cellStyle name="Task" xfId="2" xr:uid="{403F6543-7A15-4570-8884-EADBB53833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26A27-C751-46AE-BF4C-5C30BD0849B4}">
  <sheetPr>
    <outlinePr summaryBelow="0" summaryRight="0"/>
  </sheetPr>
  <dimension ref="A1:F21"/>
  <sheetViews>
    <sheetView showGridLines="0" zoomScale="130" zoomScaleNormal="130" workbookViewId="0">
      <selection activeCell="C14" sqref="C14"/>
    </sheetView>
  </sheetViews>
  <sheetFormatPr defaultColWidth="14.42578125" defaultRowHeight="12.75"/>
  <cols>
    <col min="1" max="1" width="5.42578125" customWidth="1"/>
    <col min="2" max="2" width="59.42578125" customWidth="1"/>
    <col min="3" max="3" width="20.85546875" customWidth="1"/>
    <col min="4" max="4" width="61.85546875" customWidth="1"/>
  </cols>
  <sheetData>
    <row r="1" spans="1:6" ht="18">
      <c r="A1" s="1"/>
      <c r="B1" s="2"/>
      <c r="C1" s="3"/>
      <c r="D1" s="4"/>
    </row>
    <row r="2" spans="1:6" ht="23.25">
      <c r="A2" s="9" t="s">
        <v>30</v>
      </c>
      <c r="B2" s="3"/>
      <c r="C2" s="3"/>
      <c r="D2" s="4"/>
    </row>
    <row r="3" spans="1:6">
      <c r="C3" s="4"/>
      <c r="D3" s="4"/>
    </row>
    <row r="4" spans="1:6">
      <c r="B4" s="21" t="s">
        <v>1</v>
      </c>
      <c r="C4" s="10"/>
      <c r="D4" s="4"/>
    </row>
    <row r="5" spans="1:6">
      <c r="B5" s="21" t="s">
        <v>3</v>
      </c>
      <c r="C5" s="11" t="str">
        <f>CONCATENATE((COUNTIF(C9:C21,TRUE)),"/",(COUNTIF(C9:C21, TRUE)+(COUNTIF(C9:C21,FALSE))))</f>
        <v>0/12</v>
      </c>
      <c r="D5" s="4" t="s">
        <v>4</v>
      </c>
    </row>
    <row r="6" spans="1:6">
      <c r="A6" s="17"/>
      <c r="B6" s="17"/>
      <c r="C6" s="12"/>
      <c r="D6" s="4"/>
    </row>
    <row r="7" spans="1:6">
      <c r="A7" s="5" t="s">
        <v>0</v>
      </c>
      <c r="B7" s="23" t="s">
        <v>5</v>
      </c>
      <c r="C7" s="25" t="s">
        <v>6</v>
      </c>
      <c r="D7" s="6" t="s">
        <v>7</v>
      </c>
    </row>
    <row r="8" spans="1:6">
      <c r="A8" s="30" t="s">
        <v>8</v>
      </c>
      <c r="B8" s="31"/>
      <c r="C8" s="5"/>
      <c r="D8" s="13"/>
    </row>
    <row r="9" spans="1:6">
      <c r="A9" s="8">
        <f t="shared" ref="A9:A14" si="0">ROW()-ROW($A$8)</f>
        <v>1</v>
      </c>
      <c r="B9" s="20" t="s">
        <v>9</v>
      </c>
      <c r="C9" s="7" t="b">
        <v>0</v>
      </c>
      <c r="D9" s="18" t="s">
        <v>10</v>
      </c>
    </row>
    <row r="10" spans="1:6" ht="25.5">
      <c r="A10" s="8">
        <f t="shared" si="0"/>
        <v>2</v>
      </c>
      <c r="B10" s="20" t="s">
        <v>11</v>
      </c>
      <c r="C10" s="7" t="b">
        <v>0</v>
      </c>
      <c r="D10" s="18" t="s">
        <v>12</v>
      </c>
    </row>
    <row r="11" spans="1:6" ht="25.5">
      <c r="A11" s="8">
        <f t="shared" si="0"/>
        <v>3</v>
      </c>
      <c r="B11" s="20" t="s">
        <v>13</v>
      </c>
      <c r="C11" s="7" t="b">
        <v>0</v>
      </c>
      <c r="D11" s="18" t="s">
        <v>14</v>
      </c>
    </row>
    <row r="12" spans="1:6">
      <c r="A12" s="8">
        <f t="shared" si="0"/>
        <v>4</v>
      </c>
      <c r="B12" s="20" t="s">
        <v>15</v>
      </c>
      <c r="C12" s="7" t="b">
        <v>0</v>
      </c>
      <c r="D12" s="18" t="s">
        <v>16</v>
      </c>
    </row>
    <row r="13" spans="1:6">
      <c r="A13" s="8">
        <f t="shared" si="0"/>
        <v>5</v>
      </c>
      <c r="B13" s="20" t="s">
        <v>17</v>
      </c>
      <c r="C13" s="7" t="b">
        <v>0</v>
      </c>
      <c r="D13" s="18" t="s">
        <v>18</v>
      </c>
    </row>
    <row r="14" spans="1:6" ht="25.5">
      <c r="A14" s="8">
        <f t="shared" si="0"/>
        <v>6</v>
      </c>
      <c r="B14" s="20" t="s">
        <v>19</v>
      </c>
      <c r="C14" s="7" t="b">
        <v>0</v>
      </c>
      <c r="D14" s="18" t="s">
        <v>20</v>
      </c>
    </row>
    <row r="15" spans="1:6">
      <c r="A15" s="22" t="s">
        <v>21</v>
      </c>
      <c r="B15" s="15"/>
      <c r="C15" s="5"/>
      <c r="D15" s="16"/>
    </row>
    <row r="16" spans="1:6">
      <c r="A16" s="8">
        <f t="shared" ref="A16:A21" si="1">ROW()-ROW($A$9)</f>
        <v>7</v>
      </c>
      <c r="B16" s="19" t="s">
        <v>22</v>
      </c>
      <c r="C16" s="7" t="b">
        <v>0</v>
      </c>
      <c r="D16" s="18" t="s">
        <v>29</v>
      </c>
      <c r="F16" s="24"/>
    </row>
    <row r="17" spans="1:6">
      <c r="A17" s="8">
        <f t="shared" si="1"/>
        <v>8</v>
      </c>
      <c r="B17" s="19" t="s">
        <v>23</v>
      </c>
      <c r="C17" s="7" t="b">
        <v>0</v>
      </c>
      <c r="D17" s="18" t="s">
        <v>28</v>
      </c>
      <c r="F17" s="24"/>
    </row>
    <row r="18" spans="1:6" ht="25.5">
      <c r="A18" s="8">
        <f t="shared" si="1"/>
        <v>9</v>
      </c>
      <c r="B18" s="19" t="s">
        <v>24</v>
      </c>
      <c r="C18" s="7" t="b">
        <v>0</v>
      </c>
      <c r="D18" s="18"/>
      <c r="F18" s="24"/>
    </row>
    <row r="19" spans="1:6">
      <c r="A19" s="8">
        <f t="shared" si="1"/>
        <v>10</v>
      </c>
      <c r="B19" s="19" t="s">
        <v>25</v>
      </c>
      <c r="C19" s="7" t="b">
        <v>0</v>
      </c>
      <c r="D19" s="18"/>
      <c r="F19" s="24"/>
    </row>
    <row r="20" spans="1:6">
      <c r="A20" s="8">
        <f t="shared" si="1"/>
        <v>11</v>
      </c>
      <c r="B20" s="19" t="s">
        <v>26</v>
      </c>
      <c r="C20" s="7" t="b">
        <v>0</v>
      </c>
      <c r="D20" s="18"/>
      <c r="F20" s="24"/>
    </row>
    <row r="21" spans="1:6" ht="25.5">
      <c r="A21" s="8">
        <f t="shared" si="1"/>
        <v>12</v>
      </c>
      <c r="B21" s="19" t="s">
        <v>27</v>
      </c>
      <c r="C21" s="7" t="b">
        <v>0</v>
      </c>
      <c r="D21" s="18"/>
      <c r="F21" s="24"/>
    </row>
  </sheetData>
  <mergeCells count="1"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48"/>
  <sheetViews>
    <sheetView showGridLines="0" tabSelected="1" zoomScale="130" zoomScaleNormal="130" workbookViewId="0">
      <selection activeCell="B15" sqref="B15"/>
    </sheetView>
  </sheetViews>
  <sheetFormatPr defaultColWidth="14.42578125" defaultRowHeight="12.75"/>
  <cols>
    <col min="1" max="1" width="5.42578125" customWidth="1"/>
    <col min="2" max="2" width="59.42578125" customWidth="1"/>
    <col min="3" max="4" width="20.85546875" customWidth="1"/>
    <col min="5" max="5" width="61.85546875" customWidth="1"/>
  </cols>
  <sheetData>
    <row r="1" spans="1:5" ht="18">
      <c r="A1" s="1"/>
      <c r="B1" s="2"/>
      <c r="C1" s="3"/>
      <c r="D1" s="3"/>
      <c r="E1" s="4"/>
    </row>
    <row r="2" spans="1:5" ht="23.25">
      <c r="A2" s="9" t="s">
        <v>31</v>
      </c>
      <c r="B2" s="3"/>
      <c r="C2" s="3"/>
      <c r="D2" s="3"/>
      <c r="E2" s="4"/>
    </row>
    <row r="3" spans="1:5">
      <c r="C3" s="4"/>
      <c r="D3" s="4"/>
      <c r="E3" s="4"/>
    </row>
    <row r="4" spans="1:5">
      <c r="B4" s="21" t="s">
        <v>1</v>
      </c>
      <c r="C4" s="10"/>
      <c r="D4" s="27"/>
      <c r="E4" s="4"/>
    </row>
    <row r="5" spans="1:5">
      <c r="B5" s="21" t="s">
        <v>3</v>
      </c>
      <c r="C5" s="11" t="str">
        <f>CONCATENATE((COUNTIF(C9:C48,TRUE)),"/",(COUNTIF(C9:C48, TRUE)+(COUNTIF(C9:C48,FALSE))))</f>
        <v>0/37</v>
      </c>
      <c r="D5" s="27"/>
      <c r="E5" s="4" t="s">
        <v>4</v>
      </c>
    </row>
    <row r="6" spans="1:5">
      <c r="A6" s="17"/>
      <c r="B6" s="17"/>
      <c r="C6" s="12"/>
      <c r="D6" s="12"/>
      <c r="E6" s="4"/>
    </row>
    <row r="7" spans="1:5">
      <c r="A7" s="5" t="s">
        <v>0</v>
      </c>
      <c r="B7" s="23" t="s">
        <v>5</v>
      </c>
      <c r="C7" s="25" t="s">
        <v>6</v>
      </c>
      <c r="D7" s="25" t="s">
        <v>2</v>
      </c>
      <c r="E7" s="6" t="s">
        <v>7</v>
      </c>
    </row>
    <row r="8" spans="1:5">
      <c r="A8" s="30" t="s">
        <v>32</v>
      </c>
      <c r="B8" s="31"/>
      <c r="C8" s="5"/>
      <c r="D8" s="28"/>
      <c r="E8" s="13"/>
    </row>
    <row r="9" spans="1:5">
      <c r="A9" s="8">
        <f t="shared" ref="A9:A17" si="0">ROW()-ROW($A$8)</f>
        <v>1</v>
      </c>
      <c r="B9" s="20" t="s">
        <v>34</v>
      </c>
      <c r="C9" s="7" t="b">
        <v>0</v>
      </c>
      <c r="D9" s="26"/>
      <c r="E9" s="18" t="s">
        <v>35</v>
      </c>
    </row>
    <row r="10" spans="1:5">
      <c r="A10" s="8">
        <f t="shared" si="0"/>
        <v>2</v>
      </c>
      <c r="B10" s="20" t="s">
        <v>33</v>
      </c>
      <c r="C10" s="7" t="b">
        <v>0</v>
      </c>
      <c r="D10" s="26"/>
      <c r="E10" s="18" t="s">
        <v>36</v>
      </c>
    </row>
    <row r="11" spans="1:5">
      <c r="A11" s="8">
        <f t="shared" si="0"/>
        <v>3</v>
      </c>
      <c r="B11" s="20" t="s">
        <v>37</v>
      </c>
      <c r="C11" s="7" t="b">
        <v>0</v>
      </c>
      <c r="D11" s="26"/>
      <c r="E11" s="18"/>
    </row>
    <row r="12" spans="1:5">
      <c r="A12" s="8">
        <f t="shared" si="0"/>
        <v>4</v>
      </c>
      <c r="B12" s="20" t="s">
        <v>38</v>
      </c>
      <c r="C12" s="7" t="b">
        <v>0</v>
      </c>
      <c r="D12" s="26"/>
      <c r="E12" s="18"/>
    </row>
    <row r="13" spans="1:5">
      <c r="A13" s="8">
        <f t="shared" si="0"/>
        <v>5</v>
      </c>
      <c r="B13" s="20" t="s">
        <v>39</v>
      </c>
      <c r="C13" s="7" t="b">
        <v>0</v>
      </c>
      <c r="D13" s="26"/>
      <c r="E13" s="18" t="s">
        <v>18</v>
      </c>
    </row>
    <row r="14" spans="1:5">
      <c r="A14" s="8">
        <f t="shared" si="0"/>
        <v>6</v>
      </c>
      <c r="B14" s="20" t="s">
        <v>40</v>
      </c>
      <c r="C14" s="7" t="b">
        <v>0</v>
      </c>
      <c r="D14" s="26"/>
      <c r="E14" s="18" t="s">
        <v>20</v>
      </c>
    </row>
    <row r="15" spans="1:5" ht="25.5">
      <c r="A15" s="8">
        <f t="shared" si="0"/>
        <v>7</v>
      </c>
      <c r="B15" s="20" t="s">
        <v>41</v>
      </c>
      <c r="C15" s="7" t="b">
        <v>0</v>
      </c>
      <c r="D15" s="26"/>
      <c r="E15" s="18"/>
    </row>
    <row r="16" spans="1:5" ht="25.5">
      <c r="A16" s="8">
        <f t="shared" si="0"/>
        <v>8</v>
      </c>
      <c r="B16" s="20" t="s">
        <v>42</v>
      </c>
      <c r="C16" s="7" t="b">
        <v>0</v>
      </c>
      <c r="D16" s="26"/>
      <c r="E16" s="18"/>
    </row>
    <row r="17" spans="1:7" ht="25.5">
      <c r="A17" s="8">
        <f t="shared" si="0"/>
        <v>9</v>
      </c>
      <c r="B17" s="20" t="s">
        <v>44</v>
      </c>
      <c r="C17" s="7" t="b">
        <v>0</v>
      </c>
      <c r="D17" s="26"/>
      <c r="E17" s="20" t="s">
        <v>43</v>
      </c>
    </row>
    <row r="18" spans="1:7">
      <c r="A18" s="22" t="s">
        <v>45</v>
      </c>
      <c r="B18" s="15"/>
      <c r="C18" s="5"/>
      <c r="D18" s="29"/>
      <c r="E18" s="16"/>
    </row>
    <row r="19" spans="1:7">
      <c r="A19" s="8">
        <f t="shared" ref="A19:A28" si="1">ROW()-ROW($A$9)</f>
        <v>10</v>
      </c>
      <c r="B19" s="19" t="s">
        <v>48</v>
      </c>
      <c r="C19" s="7" t="b">
        <v>0</v>
      </c>
      <c r="D19" s="7"/>
      <c r="E19" s="18" t="s">
        <v>49</v>
      </c>
      <c r="G19" s="24"/>
    </row>
    <row r="20" spans="1:7">
      <c r="A20" s="8">
        <f t="shared" si="1"/>
        <v>11</v>
      </c>
      <c r="B20" s="19" t="s">
        <v>50</v>
      </c>
      <c r="C20" s="7" t="b">
        <v>0</v>
      </c>
      <c r="D20" s="7"/>
      <c r="E20" s="18"/>
      <c r="G20" s="24"/>
    </row>
    <row r="21" spans="1:7" ht="25.5">
      <c r="A21" s="8">
        <f t="shared" si="1"/>
        <v>12</v>
      </c>
      <c r="B21" s="19" t="s">
        <v>51</v>
      </c>
      <c r="C21" s="7" t="b">
        <v>0</v>
      </c>
      <c r="D21" s="7"/>
      <c r="E21" s="18"/>
      <c r="G21" s="24"/>
    </row>
    <row r="22" spans="1:7">
      <c r="A22" s="8">
        <f t="shared" si="1"/>
        <v>13</v>
      </c>
      <c r="B22" s="19" t="s">
        <v>52</v>
      </c>
      <c r="C22" s="7" t="b">
        <v>0</v>
      </c>
      <c r="D22" s="7"/>
      <c r="E22" s="18"/>
      <c r="G22" s="24"/>
    </row>
    <row r="23" spans="1:7">
      <c r="A23" s="8">
        <f t="shared" si="1"/>
        <v>14</v>
      </c>
      <c r="B23" s="19" t="s">
        <v>53</v>
      </c>
      <c r="C23" s="7" t="b">
        <v>0</v>
      </c>
      <c r="D23" s="7"/>
      <c r="E23" s="18"/>
      <c r="G23" s="24"/>
    </row>
    <row r="24" spans="1:7" ht="25.5">
      <c r="A24" s="8">
        <f t="shared" si="1"/>
        <v>15</v>
      </c>
      <c r="B24" s="19" t="s">
        <v>54</v>
      </c>
      <c r="C24" s="7" t="b">
        <v>0</v>
      </c>
      <c r="D24" s="7"/>
      <c r="E24" s="18"/>
      <c r="G24" s="24"/>
    </row>
    <row r="25" spans="1:7" ht="25.5">
      <c r="A25" s="8">
        <f t="shared" si="1"/>
        <v>16</v>
      </c>
      <c r="B25" s="19" t="s">
        <v>131</v>
      </c>
      <c r="C25" s="7" t="b">
        <v>0</v>
      </c>
      <c r="D25" s="7"/>
      <c r="E25" s="18" t="s">
        <v>132</v>
      </c>
      <c r="G25" s="24"/>
    </row>
    <row r="26" spans="1:7">
      <c r="A26" s="8">
        <f t="shared" si="1"/>
        <v>17</v>
      </c>
      <c r="B26" s="19" t="s">
        <v>55</v>
      </c>
      <c r="C26" s="7" t="b">
        <v>0</v>
      </c>
      <c r="D26" s="7"/>
      <c r="E26" s="18"/>
      <c r="G26" s="24"/>
    </row>
    <row r="27" spans="1:7">
      <c r="A27" s="8">
        <f t="shared" si="1"/>
        <v>18</v>
      </c>
      <c r="B27" s="19" t="s">
        <v>56</v>
      </c>
      <c r="C27" s="7" t="b">
        <v>0</v>
      </c>
      <c r="D27" s="7"/>
      <c r="E27" s="18"/>
      <c r="G27" s="24"/>
    </row>
    <row r="28" spans="1:7" ht="25.5">
      <c r="A28" s="8">
        <f t="shared" si="1"/>
        <v>19</v>
      </c>
      <c r="B28" s="19" t="s">
        <v>57</v>
      </c>
      <c r="C28" s="7" t="b">
        <v>0</v>
      </c>
      <c r="D28" s="7"/>
      <c r="E28" s="18"/>
      <c r="G28" s="24"/>
    </row>
    <row r="29" spans="1:7">
      <c r="A29" s="22" t="s">
        <v>46</v>
      </c>
      <c r="B29" s="15"/>
      <c r="C29" s="5"/>
      <c r="D29" s="29"/>
      <c r="E29" s="16" t="s">
        <v>59</v>
      </c>
    </row>
    <row r="30" spans="1:7" ht="25.5">
      <c r="A30" s="8">
        <f>ROW()-ROW($A$10)</f>
        <v>20</v>
      </c>
      <c r="B30" s="19" t="s">
        <v>58</v>
      </c>
      <c r="C30" s="7" t="b">
        <v>0</v>
      </c>
      <c r="D30" s="7"/>
      <c r="E30" s="18"/>
    </row>
    <row r="31" spans="1:7" ht="38.25">
      <c r="A31" s="8">
        <f t="shared" ref="A31:A42" si="2">ROW()-ROW($A$10)</f>
        <v>21</v>
      </c>
      <c r="B31" s="19" t="s">
        <v>60</v>
      </c>
      <c r="C31" s="7" t="b">
        <v>0</v>
      </c>
      <c r="D31" s="7"/>
      <c r="E31" s="14"/>
    </row>
    <row r="32" spans="1:7">
      <c r="A32" s="8">
        <f t="shared" si="2"/>
        <v>22</v>
      </c>
      <c r="B32" s="19" t="s">
        <v>61</v>
      </c>
      <c r="C32" s="7" t="b">
        <v>0</v>
      </c>
      <c r="D32" s="7"/>
      <c r="E32" s="14"/>
    </row>
    <row r="33" spans="1:5">
      <c r="A33" s="8">
        <f t="shared" si="2"/>
        <v>23</v>
      </c>
      <c r="B33" s="19" t="s">
        <v>62</v>
      </c>
      <c r="C33" s="7" t="b">
        <v>0</v>
      </c>
      <c r="D33" s="7"/>
      <c r="E33" s="14"/>
    </row>
    <row r="34" spans="1:5">
      <c r="A34" s="8">
        <f t="shared" si="2"/>
        <v>24</v>
      </c>
      <c r="B34" s="19" t="s">
        <v>63</v>
      </c>
      <c r="C34" s="7" t="b">
        <v>0</v>
      </c>
      <c r="D34" s="7"/>
      <c r="E34" s="14"/>
    </row>
    <row r="35" spans="1:5">
      <c r="A35" s="8">
        <f t="shared" si="2"/>
        <v>25</v>
      </c>
      <c r="B35" s="19" t="s">
        <v>64</v>
      </c>
      <c r="C35" s="7" t="b">
        <v>0</v>
      </c>
      <c r="D35" s="7"/>
      <c r="E35" s="14"/>
    </row>
    <row r="36" spans="1:5">
      <c r="A36" s="8">
        <f t="shared" si="2"/>
        <v>26</v>
      </c>
      <c r="B36" s="19" t="s">
        <v>65</v>
      </c>
      <c r="C36" s="7" t="b">
        <v>0</v>
      </c>
      <c r="D36" s="7"/>
      <c r="E36" s="14"/>
    </row>
    <row r="37" spans="1:5" ht="25.5">
      <c r="A37" s="8">
        <f t="shared" si="2"/>
        <v>27</v>
      </c>
      <c r="B37" s="19" t="s">
        <v>66</v>
      </c>
      <c r="C37" s="7" t="b">
        <v>0</v>
      </c>
      <c r="D37" s="7"/>
      <c r="E37" s="14"/>
    </row>
    <row r="38" spans="1:5">
      <c r="A38" s="8">
        <f t="shared" si="2"/>
        <v>28</v>
      </c>
      <c r="B38" s="19" t="s">
        <v>67</v>
      </c>
      <c r="C38" s="7" t="b">
        <v>0</v>
      </c>
      <c r="D38" s="7"/>
      <c r="E38" s="14"/>
    </row>
    <row r="39" spans="1:5">
      <c r="A39" s="8">
        <f t="shared" si="2"/>
        <v>29</v>
      </c>
      <c r="B39" s="19" t="s">
        <v>130</v>
      </c>
      <c r="C39" s="7" t="b">
        <v>0</v>
      </c>
      <c r="D39" s="7"/>
      <c r="E39" s="14"/>
    </row>
    <row r="40" spans="1:5">
      <c r="A40" s="8">
        <f t="shared" si="2"/>
        <v>30</v>
      </c>
      <c r="B40" s="19" t="s">
        <v>68</v>
      </c>
      <c r="C40" s="7" t="b">
        <v>0</v>
      </c>
      <c r="D40" s="8"/>
      <c r="E40" s="14"/>
    </row>
    <row r="41" spans="1:5" ht="25.5">
      <c r="A41" s="8">
        <f t="shared" si="2"/>
        <v>31</v>
      </c>
      <c r="B41" s="19" t="s">
        <v>69</v>
      </c>
      <c r="C41" s="7" t="b">
        <v>0</v>
      </c>
      <c r="D41" s="8"/>
      <c r="E41" s="14"/>
    </row>
    <row r="42" spans="1:5">
      <c r="A42" s="8">
        <f t="shared" si="2"/>
        <v>32</v>
      </c>
      <c r="B42" s="19" t="s">
        <v>133</v>
      </c>
      <c r="C42" s="7" t="b">
        <v>0</v>
      </c>
      <c r="D42" s="8"/>
      <c r="E42" s="14" t="s">
        <v>134</v>
      </c>
    </row>
    <row r="43" spans="1:5">
      <c r="A43" s="22" t="s">
        <v>47</v>
      </c>
      <c r="B43" s="15"/>
      <c r="C43" s="5"/>
      <c r="D43" s="29"/>
      <c r="E43" s="16"/>
    </row>
    <row r="44" spans="1:5">
      <c r="A44" s="8">
        <f t="shared" ref="A44:A48" si="3">ROW()-ROW($A$17)</f>
        <v>27</v>
      </c>
      <c r="B44" s="19" t="s">
        <v>70</v>
      </c>
      <c r="C44" s="7" t="b">
        <v>0</v>
      </c>
      <c r="D44" s="7"/>
      <c r="E44" s="18"/>
    </row>
    <row r="45" spans="1:5">
      <c r="A45" s="8">
        <f t="shared" si="3"/>
        <v>28</v>
      </c>
      <c r="B45" s="19" t="s">
        <v>71</v>
      </c>
      <c r="C45" s="7" t="b">
        <v>0</v>
      </c>
      <c r="D45" s="7"/>
      <c r="E45" s="18"/>
    </row>
    <row r="46" spans="1:5">
      <c r="A46" s="8">
        <f t="shared" si="3"/>
        <v>29</v>
      </c>
      <c r="B46" s="19" t="s">
        <v>72</v>
      </c>
      <c r="C46" s="7" t="b">
        <v>0</v>
      </c>
      <c r="D46" s="7"/>
      <c r="E46" s="18"/>
    </row>
    <row r="47" spans="1:5" ht="25.5">
      <c r="A47" s="8">
        <f t="shared" si="3"/>
        <v>30</v>
      </c>
      <c r="B47" s="19" t="s">
        <v>73</v>
      </c>
      <c r="C47" s="7" t="b">
        <v>0</v>
      </c>
      <c r="D47" s="7"/>
      <c r="E47" s="18"/>
    </row>
    <row r="48" spans="1:5" ht="25.5">
      <c r="A48" s="8">
        <f t="shared" si="3"/>
        <v>31</v>
      </c>
      <c r="B48" s="19" t="s">
        <v>74</v>
      </c>
      <c r="C48" s="7" t="b">
        <v>0</v>
      </c>
      <c r="D48" s="7"/>
      <c r="E48" s="14"/>
    </row>
  </sheetData>
  <customSheetViews>
    <customSheetView guid="{E6FFB55A-1F7A-4D65-AC9E-072A025B4EB4}" filter="1" showAutoFilter="1">
      <pageMargins left="0" right="0" top="0" bottom="0" header="0" footer="0"/>
      <autoFilter ref="A12:H61" xr:uid="{322CA460-EA95-4F56-8FDA-22552BC070F5}">
        <filterColumn colId="3">
          <filters>
            <filter val="FALSE"/>
          </filters>
        </filterColumn>
      </autoFilter>
    </customSheetView>
    <customSheetView guid="{649CC00D-55D4-435A-88C3-3C4D47033B28}" filter="1" showAutoFilter="1">
      <pageMargins left="0" right="0" top="0" bottom="0" header="0" footer="0"/>
      <autoFilter ref="A11:H60" xr:uid="{F2371DBD-C54A-427F-8108-6C5E94AB969C}">
        <filterColumn colId="5">
          <filters blank="1">
            <filter val="FALSE"/>
            <filter val="iOS"/>
          </filters>
        </filterColumn>
      </autoFilter>
    </customSheetView>
    <customSheetView guid="{DF92C0CB-DF14-4DAC-8C82-C7AB13D33764}" filter="1" showAutoFilter="1">
      <pageMargins left="0" right="0" top="0" bottom="0" header="0" footer="0"/>
      <autoFilter ref="A11:H60" xr:uid="{AE312EBF-B649-457C-AA3C-285D6008B4EE}">
        <filterColumn colId="3">
          <filters blank="1">
            <filter val="Backend"/>
            <filter val="FALSE"/>
          </filters>
        </filterColumn>
      </autoFilter>
    </customSheetView>
    <customSheetView guid="{118CFE70-B8A2-4E0C-8D70-52A78932A243}" filter="1" showAutoFilter="1">
      <pageMargins left="0" right="0" top="0" bottom="0" header="0" footer="0"/>
      <autoFilter ref="A11:H60" xr:uid="{933EAACE-8989-4D60-BE34-4305472193F8}">
        <filterColumn colId="4">
          <filters blank="1">
            <filter val="FALSE"/>
            <filter val="Frontend"/>
          </filters>
        </filterColumn>
      </autoFilter>
    </customSheetView>
    <customSheetView guid="{16CF1581-DC94-4560-8CDB-C698EDB0E504}" filter="1" showAutoFilter="1">
      <pageMargins left="0" right="0" top="0" bottom="0" header="0" footer="0"/>
      <autoFilter ref="A11:H61" xr:uid="{A0B55844-29AE-4ABE-9764-A35F5B05F154}">
        <filterColumn colId="6">
          <filters blank="1">
            <filter val="Android"/>
            <filter val="FALSE"/>
          </filters>
        </filterColumn>
      </autoFilter>
    </customSheetView>
  </customSheetViews>
  <mergeCells count="1"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6177D-3B31-4121-9505-FE5C5172297D}">
  <sheetPr>
    <outlinePr summaryBelow="0" summaryRight="0"/>
  </sheetPr>
  <dimension ref="A1:F53"/>
  <sheetViews>
    <sheetView showGridLines="0" zoomScale="130" zoomScaleNormal="130" workbookViewId="0">
      <selection activeCell="C47" sqref="C47"/>
    </sheetView>
  </sheetViews>
  <sheetFormatPr defaultColWidth="14.42578125" defaultRowHeight="12.75"/>
  <cols>
    <col min="1" max="1" width="5.42578125" customWidth="1"/>
    <col min="2" max="2" width="59.42578125" customWidth="1"/>
    <col min="3" max="3" width="20.85546875" customWidth="1"/>
    <col min="4" max="4" width="61.85546875" customWidth="1"/>
  </cols>
  <sheetData>
    <row r="1" spans="1:6" ht="18">
      <c r="A1" s="1"/>
      <c r="B1" s="2"/>
      <c r="C1" s="3"/>
      <c r="D1" s="4"/>
    </row>
    <row r="2" spans="1:6" ht="23.25">
      <c r="A2" s="9" t="s">
        <v>75</v>
      </c>
      <c r="B2" s="3"/>
      <c r="C2" s="3"/>
      <c r="D2" s="4"/>
    </row>
    <row r="3" spans="1:6">
      <c r="C3" s="4"/>
      <c r="D3" s="4"/>
    </row>
    <row r="4" spans="1:6">
      <c r="B4" s="21" t="s">
        <v>1</v>
      </c>
      <c r="C4" s="10"/>
      <c r="D4" s="4"/>
    </row>
    <row r="5" spans="1:6">
      <c r="B5" s="21" t="s">
        <v>3</v>
      </c>
      <c r="C5" s="11"/>
      <c r="D5" s="4" t="s">
        <v>4</v>
      </c>
    </row>
    <row r="6" spans="1:6">
      <c r="A6" s="17"/>
      <c r="B6" s="17"/>
      <c r="C6" s="12"/>
      <c r="D6" s="4"/>
    </row>
    <row r="7" spans="1:6">
      <c r="A7" s="5" t="s">
        <v>0</v>
      </c>
      <c r="B7" s="23" t="s">
        <v>5</v>
      </c>
      <c r="C7" s="25" t="s">
        <v>6</v>
      </c>
      <c r="D7" s="6" t="s">
        <v>7</v>
      </c>
    </row>
    <row r="8" spans="1:6">
      <c r="A8" s="30" t="s">
        <v>76</v>
      </c>
      <c r="B8" s="31"/>
      <c r="C8" s="5"/>
      <c r="D8" s="13"/>
    </row>
    <row r="9" spans="1:6">
      <c r="A9" s="8">
        <f>ROW()-ROW($A$8)</f>
        <v>1</v>
      </c>
      <c r="B9" s="20" t="s">
        <v>77</v>
      </c>
      <c r="C9" s="7" t="s">
        <v>84</v>
      </c>
      <c r="D9" s="18"/>
    </row>
    <row r="10" spans="1:6">
      <c r="A10" s="8">
        <f t="shared" ref="A10:A14" si="0">ROW()-ROW($A$8)</f>
        <v>2</v>
      </c>
      <c r="B10" s="20" t="s">
        <v>78</v>
      </c>
      <c r="C10" s="7" t="s">
        <v>85</v>
      </c>
      <c r="D10" s="18"/>
    </row>
    <row r="11" spans="1:6">
      <c r="A11" s="8">
        <f t="shared" si="0"/>
        <v>3</v>
      </c>
      <c r="B11" s="20" t="s">
        <v>79</v>
      </c>
      <c r="C11" s="7" t="s">
        <v>84</v>
      </c>
      <c r="D11" s="18"/>
    </row>
    <row r="12" spans="1:6">
      <c r="A12" s="8">
        <f t="shared" si="0"/>
        <v>4</v>
      </c>
      <c r="B12" s="20" t="s">
        <v>80</v>
      </c>
      <c r="C12" s="7" t="s">
        <v>84</v>
      </c>
      <c r="D12" s="18"/>
    </row>
    <row r="13" spans="1:6">
      <c r="A13" s="8">
        <f t="shared" si="0"/>
        <v>5</v>
      </c>
      <c r="B13" s="20" t="s">
        <v>81</v>
      </c>
      <c r="C13" s="7" t="s">
        <v>84</v>
      </c>
      <c r="D13" s="18"/>
    </row>
    <row r="14" spans="1:6">
      <c r="A14" s="8">
        <f t="shared" si="0"/>
        <v>6</v>
      </c>
      <c r="B14" s="20" t="s">
        <v>82</v>
      </c>
      <c r="C14" s="7" t="s">
        <v>84</v>
      </c>
      <c r="D14" s="18"/>
    </row>
    <row r="15" spans="1:6">
      <c r="A15" s="22" t="s">
        <v>86</v>
      </c>
      <c r="B15" s="15"/>
      <c r="C15" s="5"/>
      <c r="D15" s="16"/>
    </row>
    <row r="16" spans="1:6">
      <c r="A16" s="8">
        <f>ROW()-ROW($A$9)</f>
        <v>7</v>
      </c>
      <c r="B16" s="19" t="s">
        <v>87</v>
      </c>
      <c r="C16" s="7" t="s">
        <v>84</v>
      </c>
      <c r="D16" s="18"/>
      <c r="F16" s="24"/>
    </row>
    <row r="17" spans="1:6">
      <c r="A17" s="8">
        <f t="shared" ref="A17:A22" si="1">ROW()-ROW($A$9)</f>
        <v>8</v>
      </c>
      <c r="B17" s="19" t="s">
        <v>88</v>
      </c>
      <c r="C17" s="7" t="s">
        <v>84</v>
      </c>
      <c r="D17" s="18"/>
      <c r="F17" s="24"/>
    </row>
    <row r="18" spans="1:6">
      <c r="A18" s="8">
        <f t="shared" si="1"/>
        <v>9</v>
      </c>
      <c r="B18" s="19" t="s">
        <v>89</v>
      </c>
      <c r="C18" s="7" t="s">
        <v>84</v>
      </c>
      <c r="D18" s="18"/>
      <c r="F18" s="24"/>
    </row>
    <row r="19" spans="1:6">
      <c r="A19" s="8">
        <f t="shared" si="1"/>
        <v>10</v>
      </c>
      <c r="B19" s="19" t="s">
        <v>90</v>
      </c>
      <c r="C19" s="7" t="s">
        <v>83</v>
      </c>
      <c r="D19" s="18" t="s">
        <v>91</v>
      </c>
      <c r="F19" s="24"/>
    </row>
    <row r="20" spans="1:6">
      <c r="A20" s="8">
        <f t="shared" si="1"/>
        <v>11</v>
      </c>
      <c r="B20" s="19" t="s">
        <v>92</v>
      </c>
      <c r="C20" s="7" t="s">
        <v>85</v>
      </c>
      <c r="D20" s="18"/>
      <c r="F20" s="24"/>
    </row>
    <row r="21" spans="1:6">
      <c r="A21" s="8">
        <f t="shared" si="1"/>
        <v>12</v>
      </c>
      <c r="B21" s="19" t="s">
        <v>93</v>
      </c>
      <c r="C21" s="7" t="s">
        <v>85</v>
      </c>
      <c r="D21" s="18"/>
      <c r="F21" s="24"/>
    </row>
    <row r="22" spans="1:6">
      <c r="A22" s="8">
        <f t="shared" si="1"/>
        <v>13</v>
      </c>
      <c r="B22" s="19" t="s">
        <v>94</v>
      </c>
      <c r="C22" s="7" t="s">
        <v>85</v>
      </c>
      <c r="D22" s="18"/>
      <c r="F22" s="24"/>
    </row>
    <row r="23" spans="1:6">
      <c r="A23" s="22" t="s">
        <v>95</v>
      </c>
      <c r="B23" s="15"/>
      <c r="C23" s="5"/>
      <c r="D23" s="16"/>
    </row>
    <row r="24" spans="1:6" ht="25.5">
      <c r="A24" s="8">
        <f>ROW()-ROW($A$10)</f>
        <v>14</v>
      </c>
      <c r="B24" s="19" t="s">
        <v>96</v>
      </c>
      <c r="C24" s="7" t="s">
        <v>84</v>
      </c>
      <c r="D24" s="18"/>
    </row>
    <row r="25" spans="1:6">
      <c r="A25" s="8">
        <f t="shared" ref="A25:A26" si="2">ROW()-ROW($A$10)</f>
        <v>15</v>
      </c>
      <c r="B25" s="19" t="s">
        <v>97</v>
      </c>
      <c r="C25" s="7" t="s">
        <v>85</v>
      </c>
      <c r="D25" s="14"/>
    </row>
    <row r="26" spans="1:6">
      <c r="A26" s="8">
        <f t="shared" si="2"/>
        <v>16</v>
      </c>
      <c r="B26" s="19" t="s">
        <v>98</v>
      </c>
      <c r="C26" s="7" t="s">
        <v>85</v>
      </c>
      <c r="D26" s="14" t="s">
        <v>99</v>
      </c>
    </row>
    <row r="27" spans="1:6">
      <c r="A27" s="22" t="s">
        <v>100</v>
      </c>
      <c r="B27" s="15"/>
      <c r="C27" s="5"/>
      <c r="D27" s="16"/>
    </row>
    <row r="28" spans="1:6">
      <c r="A28" s="8">
        <f>ROW()-ROW($A$11)</f>
        <v>17</v>
      </c>
      <c r="B28" s="19" t="s">
        <v>101</v>
      </c>
      <c r="C28" s="7" t="s">
        <v>83</v>
      </c>
      <c r="D28" s="18"/>
    </row>
    <row r="29" spans="1:6">
      <c r="A29" s="8">
        <f t="shared" ref="A29:A31" si="3">ROW()-ROW($A$11)</f>
        <v>18</v>
      </c>
      <c r="B29" s="19" t="s">
        <v>102</v>
      </c>
      <c r="C29" s="7" t="s">
        <v>83</v>
      </c>
      <c r="D29" s="14"/>
    </row>
    <row r="30" spans="1:6">
      <c r="A30" s="8">
        <f t="shared" si="3"/>
        <v>19</v>
      </c>
      <c r="B30" s="19" t="s">
        <v>103</v>
      </c>
      <c r="C30" s="7" t="s">
        <v>84</v>
      </c>
      <c r="D30" s="14"/>
    </row>
    <row r="31" spans="1:6">
      <c r="A31" s="8">
        <f t="shared" si="3"/>
        <v>20</v>
      </c>
      <c r="B31" s="19" t="s">
        <v>104</v>
      </c>
      <c r="C31" s="7" t="s">
        <v>83</v>
      </c>
      <c r="D31" s="14"/>
    </row>
    <row r="32" spans="1:6">
      <c r="A32" s="22" t="s">
        <v>105</v>
      </c>
      <c r="B32" s="15"/>
      <c r="C32" s="5"/>
      <c r="D32" s="16"/>
    </row>
    <row r="33" spans="1:4">
      <c r="A33" s="8">
        <f>ROW()-ROW($A$12)</f>
        <v>21</v>
      </c>
      <c r="B33" s="19" t="s">
        <v>106</v>
      </c>
      <c r="C33" s="7" t="s">
        <v>83</v>
      </c>
      <c r="D33" s="18" t="s">
        <v>107</v>
      </c>
    </row>
    <row r="34" spans="1:4">
      <c r="A34" s="8">
        <f t="shared" ref="A34:A36" si="4">ROW()-ROW($A$12)</f>
        <v>22</v>
      </c>
      <c r="B34" s="19" t="s">
        <v>109</v>
      </c>
      <c r="C34" s="7" t="s">
        <v>84</v>
      </c>
      <c r="D34" s="14"/>
    </row>
    <row r="35" spans="1:4">
      <c r="A35" s="8">
        <f t="shared" si="4"/>
        <v>23</v>
      </c>
      <c r="B35" s="19" t="s">
        <v>110</v>
      </c>
      <c r="C35" s="7" t="s">
        <v>83</v>
      </c>
      <c r="D35" s="14" t="s">
        <v>108</v>
      </c>
    </row>
    <row r="36" spans="1:4">
      <c r="A36" s="8">
        <f t="shared" si="4"/>
        <v>24</v>
      </c>
      <c r="B36" s="19" t="s">
        <v>111</v>
      </c>
      <c r="C36" s="7" t="s">
        <v>84</v>
      </c>
      <c r="D36" s="14"/>
    </row>
    <row r="37" spans="1:4">
      <c r="A37" s="22" t="s">
        <v>118</v>
      </c>
      <c r="B37" s="15"/>
      <c r="C37" s="5"/>
      <c r="D37" s="16"/>
    </row>
    <row r="38" spans="1:4">
      <c r="A38" s="8">
        <f>ROW()-ROW($A$13)</f>
        <v>25</v>
      </c>
      <c r="B38" s="19" t="s">
        <v>112</v>
      </c>
      <c r="C38" s="7" t="s">
        <v>84</v>
      </c>
      <c r="D38" s="18"/>
    </row>
    <row r="39" spans="1:4">
      <c r="A39" s="8">
        <f t="shared" ref="A39:A43" si="5">ROW()-ROW($A$13)</f>
        <v>26</v>
      </c>
      <c r="B39" s="19" t="s">
        <v>113</v>
      </c>
      <c r="C39" s="7" t="s">
        <v>83</v>
      </c>
      <c r="D39" s="14"/>
    </row>
    <row r="40" spans="1:4">
      <c r="A40" s="8">
        <f t="shared" si="5"/>
        <v>27</v>
      </c>
      <c r="B40" s="19" t="s">
        <v>114</v>
      </c>
      <c r="C40" s="7" t="s">
        <v>83</v>
      </c>
      <c r="D40" s="14"/>
    </row>
    <row r="41" spans="1:4">
      <c r="A41" s="8">
        <f t="shared" si="5"/>
        <v>28</v>
      </c>
      <c r="B41" s="19" t="s">
        <v>115</v>
      </c>
      <c r="C41" s="7" t="s">
        <v>84</v>
      </c>
      <c r="D41" s="14"/>
    </row>
    <row r="42" spans="1:4">
      <c r="A42" s="8">
        <f t="shared" si="5"/>
        <v>29</v>
      </c>
      <c r="B42" s="19" t="s">
        <v>116</v>
      </c>
      <c r="C42" s="7" t="s">
        <v>85</v>
      </c>
      <c r="D42" s="14"/>
    </row>
    <row r="43" spans="1:4">
      <c r="A43" s="8">
        <f t="shared" si="5"/>
        <v>30</v>
      </c>
      <c r="B43" s="19" t="s">
        <v>117</v>
      </c>
      <c r="C43" s="7" t="s">
        <v>85</v>
      </c>
      <c r="D43" s="14"/>
    </row>
    <row r="44" spans="1:4">
      <c r="A44" s="22" t="s">
        <v>119</v>
      </c>
      <c r="B44" s="15"/>
      <c r="C44" s="5"/>
      <c r="D44" s="16"/>
    </row>
    <row r="45" spans="1:4">
      <c r="A45" s="8">
        <f>ROW()-ROW($A$14)</f>
        <v>31</v>
      </c>
      <c r="B45" s="19" t="s">
        <v>124</v>
      </c>
      <c r="C45" s="7" t="s">
        <v>83</v>
      </c>
      <c r="D45" s="18" t="s">
        <v>125</v>
      </c>
    </row>
    <row r="46" spans="1:4">
      <c r="A46" s="8">
        <f t="shared" ref="A46:A49" si="6">ROW()-ROW($A$14)</f>
        <v>32</v>
      </c>
      <c r="B46" s="19" t="s">
        <v>126</v>
      </c>
      <c r="C46" s="7" t="s">
        <v>83</v>
      </c>
      <c r="D46" s="14"/>
    </row>
    <row r="47" spans="1:4">
      <c r="A47" s="8">
        <f t="shared" si="6"/>
        <v>33</v>
      </c>
      <c r="B47" s="19" t="s">
        <v>127</v>
      </c>
      <c r="C47" s="7" t="s">
        <v>84</v>
      </c>
      <c r="D47" s="14"/>
    </row>
    <row r="48" spans="1:4">
      <c r="A48" s="8">
        <f t="shared" si="6"/>
        <v>34</v>
      </c>
      <c r="B48" s="19" t="s">
        <v>128</v>
      </c>
      <c r="C48" s="7" t="s">
        <v>85</v>
      </c>
      <c r="D48" s="14"/>
    </row>
    <row r="49" spans="1:4">
      <c r="A49" s="8">
        <f t="shared" si="6"/>
        <v>35</v>
      </c>
      <c r="B49" s="19" t="s">
        <v>129</v>
      </c>
      <c r="C49" s="7" t="s">
        <v>85</v>
      </c>
      <c r="D49" s="14"/>
    </row>
    <row r="50" spans="1:4">
      <c r="A50" s="22" t="s">
        <v>120</v>
      </c>
      <c r="B50" s="15"/>
      <c r="C50" s="5"/>
      <c r="D50" s="16"/>
    </row>
    <row r="51" spans="1:4">
      <c r="A51" s="8">
        <f>ROW()-ROW($A$14)</f>
        <v>37</v>
      </c>
      <c r="B51" s="19" t="s">
        <v>121</v>
      </c>
      <c r="C51" s="7" t="s">
        <v>84</v>
      </c>
      <c r="D51" s="18"/>
    </row>
    <row r="52" spans="1:4">
      <c r="A52" s="8">
        <f t="shared" ref="A52:A53" si="7">ROW()-ROW($A$14)</f>
        <v>38</v>
      </c>
      <c r="B52" s="19" t="s">
        <v>122</v>
      </c>
      <c r="C52" s="7" t="s">
        <v>84</v>
      </c>
      <c r="D52" s="14"/>
    </row>
    <row r="53" spans="1:4">
      <c r="A53" s="8">
        <f t="shared" si="7"/>
        <v>39</v>
      </c>
      <c r="B53" s="19" t="s">
        <v>123</v>
      </c>
      <c r="C53" s="7" t="s">
        <v>84</v>
      </c>
      <c r="D53" s="14"/>
    </row>
  </sheetData>
  <mergeCells count="1"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Checklist Chuẩn Bị</vt:lpstr>
      <vt:lpstr>Kế hoạch, lịch trình di chuyển</vt:lpstr>
      <vt:lpstr>Danh Sách Địa Điểm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Vũ Long</cp:lastModifiedBy>
  <cp:revision/>
  <dcterms:created xsi:type="dcterms:W3CDTF">2022-06-01T08:08:53Z</dcterms:created>
  <dcterms:modified xsi:type="dcterms:W3CDTF">2026-09-22T07:24:01Z</dcterms:modified>
  <cp:category/>
  <cp:contentStatus/>
</cp:coreProperties>
</file>